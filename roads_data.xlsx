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d\Downloads\Aa_Canopy\"/>
    </mc:Choice>
  </mc:AlternateContent>
  <xr:revisionPtr revIDLastSave="0" documentId="13_ncr:1_{13CFAAF5-41A1-41B8-A4FF-B1C2701F92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</calcChain>
</file>

<file path=xl/sharedStrings.xml><?xml version="1.0" encoding="utf-8"?>
<sst xmlns="http://schemas.openxmlformats.org/spreadsheetml/2006/main" count="44" uniqueCount="44">
  <si>
    <t>Project</t>
  </si>
  <si>
    <t>Project area (m2)</t>
  </si>
  <si>
    <t>Plantable area (m2)</t>
  </si>
  <si>
    <t>Current trees 
(merged from PS and GIS)</t>
  </si>
  <si>
    <t>Current canopy cover (m2)</t>
  </si>
  <si>
    <t>Mature canopy cover current trees (m2) as per species</t>
  </si>
  <si>
    <t>Remaining plantable Area</t>
  </si>
  <si>
    <t>Potential 
Additional 
trees</t>
  </si>
  <si>
    <t>Total trees</t>
  </si>
  <si>
    <t>Potential 
additional canopy cover (m2)</t>
  </si>
  <si>
    <t>Planned 
KPI (%)</t>
  </si>
  <si>
    <t>Current KPI (%)</t>
  </si>
  <si>
    <t>Current KPI mature canopy (%)</t>
  </si>
  <si>
    <t>Potential Total future 
KPI (%)</t>
  </si>
  <si>
    <t>Trees to be planted to reach planned KPI</t>
  </si>
  <si>
    <t>Road</t>
  </si>
  <si>
    <t>Airport Road</t>
  </si>
  <si>
    <t>Dammam Road</t>
  </si>
  <si>
    <t>Dammam Road Riyadh Entrance</t>
  </si>
  <si>
    <t>Eastern Ring Road</t>
  </si>
  <si>
    <t>Jeddah Road</t>
  </si>
  <si>
    <t>Khurais Road</t>
  </si>
  <si>
    <t>King Fahad Road</t>
  </si>
  <si>
    <t>King Khalid Road</t>
  </si>
  <si>
    <t>King Salman Road</t>
  </si>
  <si>
    <t>Makkah Road</t>
  </si>
  <si>
    <t>Northern Ring Road</t>
  </si>
  <si>
    <t>Qassim Road</t>
  </si>
  <si>
    <t>Salboukh Road</t>
  </si>
  <si>
    <t>Southern Ring Road</t>
  </si>
  <si>
    <t>Western Ring Road</t>
  </si>
  <si>
    <t>Wadi</t>
  </si>
  <si>
    <t>Airport Wadi</t>
  </si>
  <si>
    <t>Wadi Gudwanah</t>
  </si>
  <si>
    <t>Wadi Umm Qassar</t>
  </si>
  <si>
    <t>Wadi Al Laysan Linear Park</t>
  </si>
  <si>
    <t>Branch of Wadi Al Laysan Phase 1 (KACST)</t>
  </si>
  <si>
    <t>Branch of Wadi Al Laysan Phase 2 (KACST)</t>
  </si>
  <si>
    <t>Large Park</t>
  </si>
  <si>
    <t>Ar Rimal Park</t>
  </si>
  <si>
    <t>Al Aziziyah Park</t>
  </si>
  <si>
    <t>Taweeq Park</t>
  </si>
  <si>
    <t>Bader Park</t>
  </si>
  <si>
    <t>Al Arid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</si>
</sst>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9"/>
      <color theme="1"/>
      <name val="Segoe UI"/>
      <family val="2"/>
    </font>
    <font>
      <sz val="11"/>
      <color theme="1"/>
      <name val="Calibri"/>
      <family val="2"/>
    </font>
    <font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5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3" fontId="4" fillId="0" borderId="3" xfId="1" applyNumberFormat="1" applyFont="1" applyBorder="1" applyAlignment="1">
      <alignment horizontal="right" vertical="center" wrapText="1"/>
    </xf>
    <xf numFmtId="3" fontId="4" fillId="0" borderId="4" xfId="1" applyNumberFormat="1" applyFont="1" applyBorder="1" applyAlignment="1">
      <alignment horizontal="right"/>
    </xf>
    <xf numFmtId="43" fontId="5" fillId="0" borderId="3" xfId="0" applyNumberFormat="1" applyFont="1" applyBorder="1"/>
    <xf numFmtId="43" fontId="5" fillId="0" borderId="4" xfId="0" applyNumberFormat="1" applyFont="1" applyBorder="1"/>
    <xf numFmtId="0" fontId="0" fillId="0" borderId="3" xfId="0" applyBorder="1"/>
    <xf numFmtId="164" fontId="5" fillId="0" borderId="3" xfId="0" applyNumberFormat="1" applyFont="1" applyBorder="1"/>
    <xf numFmtId="0" fontId="0" fillId="0" borderId="4" xfId="0" applyBorder="1"/>
    <xf numFmtId="164" fontId="5" fillId="0" borderId="4" xfId="0" applyNumberFormat="1" applyFont="1" applyBorder="1"/>
    <xf numFmtId="0" fontId="2" fillId="0" borderId="4" xfId="0" applyFont="1" applyBorder="1"/>
    <xf numFmtId="0" fontId="5" fillId="0" borderId="2" xfId="0" applyFont="1" applyBorder="1" applyAlignment="1">
      <alignment horizontal="left" vertical="top"/>
    </xf>
    <xf numFmtId="3" fontId="0" fillId="0" borderId="7" xfId="0" applyNumberFormat="1" applyBorder="1"/>
    <xf numFmtId="3" fontId="4" fillId="0" borderId="9" xfId="1" applyNumberFormat="1" applyFont="1" applyBorder="1" applyAlignment="1">
      <alignment horizontal="right"/>
    </xf>
    <xf numFmtId="43" fontId="5" fillId="0" borderId="9" xfId="0" applyNumberFormat="1" applyFont="1" applyBorder="1"/>
    <xf numFmtId="164" fontId="5" fillId="0" borderId="9" xfId="0" applyNumberFormat="1" applyFont="1" applyBorder="1"/>
    <xf numFmtId="3" fontId="0" fillId="0" borderId="10" xfId="0" applyNumberFormat="1" applyBorder="1"/>
    <xf numFmtId="0" fontId="3" fillId="2" borderId="11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3" borderId="5" xfId="0" applyFont="1" applyFill="1" applyBorder="1"/>
    <xf numFmtId="0" fontId="3" fillId="3" borderId="6" xfId="0" applyFont="1" applyFill="1" applyBorder="1"/>
    <xf numFmtId="3" fontId="0" fillId="0" borderId="14" xfId="0" applyNumberFormat="1" applyBorder="1"/>
    <xf numFmtId="0" fontId="2" fillId="0" borderId="8" xfId="0" applyFont="1" applyBorder="1"/>
    <xf numFmtId="3" fontId="4" fillId="0" borderId="15" xfId="1" applyNumberFormat="1" applyFont="1" applyBorder="1" applyAlignment="1">
      <alignment horizontal="right" vertical="center" wrapText="1"/>
    </xf>
    <xf numFmtId="0" fontId="2" fillId="0" borderId="9" xfId="0" applyFont="1" applyBorder="1"/>
    <xf numFmtId="0" fontId="5" fillId="0" borderId="1" xfId="0" applyFont="1" applyBorder="1" applyAlignment="1">
      <alignment horizontal="left" vertical="top"/>
    </xf>
    <xf numFmtId="3" fontId="4" fillId="0" borderId="3" xfId="1" applyNumberFormat="1" applyFont="1" applyBorder="1" applyAlignment="1">
      <alignment horizontal="right"/>
    </xf>
    <xf numFmtId="0" fontId="5" fillId="0" borderId="16" xfId="0" applyFont="1" applyBorder="1" applyAlignment="1">
      <alignment horizontal="left" vertical="top"/>
    </xf>
    <xf numFmtId="3" fontId="4" fillId="0" borderId="17" xfId="1" applyNumberFormat="1" applyFont="1" applyBorder="1" applyAlignment="1">
      <alignment horizontal="right"/>
    </xf>
    <xf numFmtId="0" fontId="0" fillId="0" borderId="17" xfId="0" applyBorder="1"/>
    <xf numFmtId="43" fontId="5" fillId="0" borderId="17" xfId="0" applyNumberFormat="1" applyFont="1" applyBorder="1"/>
    <xf numFmtId="164" fontId="5" fillId="0" borderId="17" xfId="0" applyNumberFormat="1" applyFont="1" applyBorder="1"/>
    <xf numFmtId="3" fontId="0" fillId="0" borderId="18" xfId="0" applyNumberFormat="1" applyBorder="1"/>
    <xf numFmtId="3" fontId="0" fillId="0" borderId="0" xfId="0" applyNumberFormat="1"/>
    <xf numFmtId="3" fontId="0" fillId="0" borderId="4" xfId="0" applyNumberFormat="1" applyBorder="1"/>
    <xf numFmtId="0" fontId="0" fillId="0" borderId="7" xfId="0" applyBorder="1"/>
    <xf numFmtId="0" fontId="0" fillId="0" borderId="20" xfId="0" applyBorder="1"/>
    <xf numFmtId="3" fontId="0" fillId="0" borderId="14" xfId="0" applyNumberFormat="1" applyBorder="1" applyAlignment="1">
      <alignment horizontal="right"/>
    </xf>
    <xf numFmtId="3" fontId="4" fillId="4" borderId="4" xfId="1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left" vertical="top"/>
    </xf>
    <xf numFmtId="0" fontId="0" fillId="4" borderId="4" xfId="0" applyFill="1" applyBorder="1"/>
    <xf numFmtId="43" fontId="5" fillId="4" borderId="4" xfId="0" applyNumberFormat="1" applyFont="1" applyFill="1" applyBorder="1"/>
    <xf numFmtId="164" fontId="5" fillId="4" borderId="4" xfId="0" applyNumberFormat="1" applyFont="1" applyFill="1" applyBorder="1"/>
    <xf numFmtId="3" fontId="0" fillId="4" borderId="7" xfId="0" applyNumberFormat="1" applyFill="1" applyBorder="1"/>
    <xf numFmtId="0" fontId="0" fillId="4" borderId="0" xfId="0" applyFill="1"/>
    <xf numFmtId="0" fontId="3" fillId="3" borderId="21" xfId="0" applyFont="1" applyFill="1" applyBorder="1" applyAlignment="1">
      <alignment horizontal="left" vertical="top"/>
    </xf>
    <xf numFmtId="0" fontId="0" fillId="0" borderId="6" xfId="0" applyBorder="1"/>
    <xf numFmtId="0" fontId="0" fillId="0" borderId="19" xfId="0" applyBorder="1"/>
  </cellXfs>
  <cellStyles count="2">
    <cellStyle name="Comma" xfId="1" builtinId="3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pane ySplit="1" topLeftCell="A2" activePane="bottomLeft" state="frozen"/>
      <selection pane="bottomLeft" activeCell="A21" sqref="A21:XFD21"/>
    </sheetView>
  </sheetViews>
  <sheetFormatPr defaultRowHeight="15" x14ac:dyDescent="0.25"/>
  <cols>
    <col min="1" max="1" width="32.42578125" customWidth="1"/>
    <col min="2" max="2" width="26.5703125" customWidth="1"/>
    <col min="3" max="3" width="28.5703125" customWidth="1"/>
    <col min="4" max="4" width="19" customWidth="1"/>
    <col min="5" max="6" width="18.7109375" customWidth="1"/>
    <col min="7" max="7" width="17.7109375" customWidth="1"/>
    <col min="15" max="15" width="15.7109375" customWidth="1"/>
  </cols>
  <sheetData>
    <row r="1" spans="1:15" ht="60.75" customHeight="1" thickBot="1" x14ac:dyDescent="0.3">
      <c r="A1" s="18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19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1" t="s">
        <v>14</v>
      </c>
    </row>
    <row r="2" spans="1:15" ht="15.75" customHeight="1" thickBot="1" x14ac:dyDescent="0.3">
      <c r="A2" s="22" t="s">
        <v>15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25">
      <c r="A3" s="1" t="s">
        <v>16</v>
      </c>
      <c r="B3" s="3">
        <v>5339843</v>
      </c>
      <c r="C3" s="3">
        <v>3105072</v>
      </c>
      <c r="D3" s="3">
        <v>19360</v>
      </c>
      <c r="E3" s="3">
        <v>288353</v>
      </c>
      <c r="F3" s="3">
        <v>1086200</v>
      </c>
      <c r="G3" s="3">
        <v>2018871</v>
      </c>
      <c r="H3" s="3">
        <v>10853</v>
      </c>
      <c r="I3" s="3">
        <v>30243</v>
      </c>
      <c r="J3" s="3">
        <v>1396924</v>
      </c>
      <c r="K3" s="7">
        <v>12</v>
      </c>
      <c r="L3" s="5">
        <f t="shared" ref="L3:L17" si="0">100/B3*E3</f>
        <v>5.4000276787163966</v>
      </c>
      <c r="M3" s="5">
        <f t="shared" ref="M3:M17" si="1">100/B3*F3</f>
        <v>20.34142202308195</v>
      </c>
      <c r="N3" s="8">
        <f t="shared" ref="N3:N17" si="2">100/B3*(F3+J3)</f>
        <v>46.501816626443883</v>
      </c>
      <c r="O3" s="24">
        <v>0</v>
      </c>
    </row>
    <row r="4" spans="1:15" x14ac:dyDescent="0.25">
      <c r="A4" s="2" t="s">
        <v>17</v>
      </c>
      <c r="B4" s="4">
        <v>3503507</v>
      </c>
      <c r="C4" s="3">
        <v>2196951</v>
      </c>
      <c r="D4" s="3">
        <v>7508</v>
      </c>
      <c r="E4" s="3">
        <v>3203</v>
      </c>
      <c r="F4" s="3">
        <v>588536</v>
      </c>
      <c r="G4" s="3">
        <v>1608415</v>
      </c>
      <c r="H4" s="3">
        <v>11308</v>
      </c>
      <c r="I4" s="3">
        <v>18816</v>
      </c>
      <c r="J4" s="3">
        <v>1124890</v>
      </c>
      <c r="K4" s="9">
        <v>12</v>
      </c>
      <c r="L4" s="6">
        <f t="shared" si="0"/>
        <v>9.1422680188736602E-2</v>
      </c>
      <c r="M4" s="6">
        <f t="shared" si="1"/>
        <v>16.79848220654333</v>
      </c>
      <c r="N4" s="10">
        <f t="shared" si="2"/>
        <v>48.906024734644461</v>
      </c>
      <c r="O4" s="13">
        <v>0</v>
      </c>
    </row>
    <row r="5" spans="1:15" x14ac:dyDescent="0.25">
      <c r="A5" s="2" t="s">
        <v>18</v>
      </c>
      <c r="B5" s="4">
        <v>1858085</v>
      </c>
      <c r="C5" s="3">
        <v>799865</v>
      </c>
      <c r="D5" s="3">
        <v>3168</v>
      </c>
      <c r="E5" s="3">
        <v>12986</v>
      </c>
      <c r="F5" s="3">
        <v>197600</v>
      </c>
      <c r="G5" s="3">
        <v>602265</v>
      </c>
      <c r="H5" s="3">
        <v>3875</v>
      </c>
      <c r="I5" s="3">
        <v>7043</v>
      </c>
      <c r="J5" s="3">
        <v>414882</v>
      </c>
      <c r="K5" s="11">
        <v>12</v>
      </c>
      <c r="L5" s="6">
        <f t="shared" si="0"/>
        <v>0.69889160076099854</v>
      </c>
      <c r="M5" s="6">
        <f t="shared" si="1"/>
        <v>10.634604983087426</v>
      </c>
      <c r="N5" s="10">
        <f t="shared" si="2"/>
        <v>32.963077577182958</v>
      </c>
      <c r="O5" s="13">
        <v>406.74490688259112</v>
      </c>
    </row>
    <row r="6" spans="1:15" x14ac:dyDescent="0.25">
      <c r="A6" s="2" t="s">
        <v>19</v>
      </c>
      <c r="B6" s="4">
        <v>3612799</v>
      </c>
      <c r="C6" s="3">
        <v>1285169</v>
      </c>
      <c r="D6" s="3">
        <v>10558</v>
      </c>
      <c r="E6" s="3">
        <v>107102</v>
      </c>
      <c r="F6" s="3">
        <v>467496</v>
      </c>
      <c r="G6" s="3">
        <v>817673</v>
      </c>
      <c r="H6" s="3">
        <v>5160</v>
      </c>
      <c r="I6" s="3">
        <v>15718</v>
      </c>
      <c r="J6" s="3">
        <v>522325</v>
      </c>
      <c r="K6" s="11">
        <v>12</v>
      </c>
      <c r="L6" s="6">
        <f t="shared" si="0"/>
        <v>2.964515878132163</v>
      </c>
      <c r="M6" s="6">
        <f t="shared" si="1"/>
        <v>12.939994724312092</v>
      </c>
      <c r="N6" s="10">
        <f t="shared" si="2"/>
        <v>27.397621622459486</v>
      </c>
      <c r="O6" s="13">
        <v>0</v>
      </c>
    </row>
    <row r="7" spans="1:15" x14ac:dyDescent="0.25">
      <c r="A7" s="2" t="s">
        <v>20</v>
      </c>
      <c r="B7" s="4">
        <v>450056</v>
      </c>
      <c r="C7" s="3">
        <v>144911</v>
      </c>
      <c r="D7" s="3">
        <v>1516</v>
      </c>
      <c r="E7" s="3">
        <v>14702</v>
      </c>
      <c r="F7" s="3">
        <v>82945</v>
      </c>
      <c r="G7" s="3">
        <v>61966</v>
      </c>
      <c r="H7" s="3">
        <v>363</v>
      </c>
      <c r="I7" s="3">
        <v>1879</v>
      </c>
      <c r="J7" s="3">
        <v>50040</v>
      </c>
      <c r="K7" s="11">
        <v>12</v>
      </c>
      <c r="L7" s="6">
        <f t="shared" si="0"/>
        <v>3.2667045878735088</v>
      </c>
      <c r="M7" s="6">
        <f t="shared" si="1"/>
        <v>18.429928719981511</v>
      </c>
      <c r="N7" s="10">
        <f t="shared" si="2"/>
        <v>29.548545069946851</v>
      </c>
      <c r="O7" s="13">
        <v>0</v>
      </c>
    </row>
    <row r="8" spans="1:15" x14ac:dyDescent="0.25">
      <c r="A8" s="2" t="s">
        <v>21</v>
      </c>
      <c r="B8" s="4">
        <v>2322528</v>
      </c>
      <c r="C8" s="3">
        <v>739346</v>
      </c>
      <c r="D8" s="3">
        <v>1059</v>
      </c>
      <c r="E8" s="3">
        <v>1371</v>
      </c>
      <c r="F8" s="3">
        <v>62539</v>
      </c>
      <c r="G8" s="3">
        <v>676807</v>
      </c>
      <c r="H8" s="3">
        <v>4893</v>
      </c>
      <c r="I8" s="3">
        <v>5952</v>
      </c>
      <c r="J8" s="3">
        <v>499072</v>
      </c>
      <c r="K8" s="11">
        <v>12</v>
      </c>
      <c r="L8" s="6">
        <f t="shared" si="0"/>
        <v>5.9030504691439674E-2</v>
      </c>
      <c r="M8" s="6">
        <f t="shared" si="1"/>
        <v>2.6927124237038265</v>
      </c>
      <c r="N8" s="10">
        <f t="shared" si="2"/>
        <v>24.181021714269971</v>
      </c>
      <c r="O8" s="13">
        <v>3660.4048232303039</v>
      </c>
    </row>
    <row r="9" spans="1:15" x14ac:dyDescent="0.25">
      <c r="A9" s="2" t="s">
        <v>22</v>
      </c>
      <c r="B9" s="4">
        <v>567004</v>
      </c>
      <c r="C9" s="3">
        <v>63865</v>
      </c>
      <c r="D9" s="3">
        <v>583</v>
      </c>
      <c r="E9" s="3">
        <v>8174</v>
      </c>
      <c r="F9" s="3">
        <v>21608</v>
      </c>
      <c r="G9" s="3">
        <v>42257</v>
      </c>
      <c r="H9" s="3">
        <v>325</v>
      </c>
      <c r="I9" s="3">
        <v>908</v>
      </c>
      <c r="J9" s="3">
        <v>28499</v>
      </c>
      <c r="K9" s="11">
        <v>15</v>
      </c>
      <c r="L9" s="6">
        <f t="shared" si="0"/>
        <v>1.4416124048507595</v>
      </c>
      <c r="M9" s="6">
        <f t="shared" si="1"/>
        <v>3.8109078595565467</v>
      </c>
      <c r="N9" s="10">
        <f t="shared" si="2"/>
        <v>8.8371510606627126</v>
      </c>
      <c r="O9" s="13">
        <v>1711.728794890781</v>
      </c>
    </row>
    <row r="10" spans="1:15" x14ac:dyDescent="0.25">
      <c r="A10" s="2" t="s">
        <v>23</v>
      </c>
      <c r="B10" s="4">
        <v>2098017</v>
      </c>
      <c r="C10" s="3">
        <v>725672</v>
      </c>
      <c r="D10" s="3">
        <v>5806</v>
      </c>
      <c r="E10" s="3">
        <v>95034</v>
      </c>
      <c r="F10" s="3">
        <v>309776</v>
      </c>
      <c r="G10" s="3">
        <v>415896</v>
      </c>
      <c r="H10" s="3">
        <v>2252</v>
      </c>
      <c r="I10" s="3">
        <v>8058</v>
      </c>
      <c r="J10" s="3">
        <v>267634</v>
      </c>
      <c r="K10" s="11">
        <v>15</v>
      </c>
      <c r="L10" s="6">
        <f t="shared" si="0"/>
        <v>4.5297059080074185</v>
      </c>
      <c r="M10" s="6">
        <f t="shared" si="1"/>
        <v>14.76518064438944</v>
      </c>
      <c r="N10" s="10">
        <f t="shared" si="2"/>
        <v>27.521702636346607</v>
      </c>
      <c r="O10" s="13">
        <v>92.336234246681357</v>
      </c>
    </row>
    <row r="11" spans="1:15" x14ac:dyDescent="0.25">
      <c r="A11" s="2" t="s">
        <v>24</v>
      </c>
      <c r="B11" s="4">
        <v>1664978</v>
      </c>
      <c r="C11" s="3">
        <v>584392</v>
      </c>
      <c r="D11" s="3">
        <v>4005</v>
      </c>
      <c r="E11" s="3">
        <v>38978</v>
      </c>
      <c r="F11" s="3">
        <v>197462</v>
      </c>
      <c r="G11" s="3">
        <v>386930</v>
      </c>
      <c r="H11" s="3">
        <v>2056</v>
      </c>
      <c r="I11" s="3">
        <v>6061</v>
      </c>
      <c r="J11" s="3">
        <v>317712</v>
      </c>
      <c r="K11" s="11">
        <v>15</v>
      </c>
      <c r="L11" s="6">
        <f t="shared" si="0"/>
        <v>2.3410519538396302</v>
      </c>
      <c r="M11" s="6">
        <f t="shared" si="1"/>
        <v>11.859736284803763</v>
      </c>
      <c r="N11" s="10">
        <f t="shared" si="2"/>
        <v>30.941790221852781</v>
      </c>
      <c r="O11" s="13">
        <v>1060.4583337553561</v>
      </c>
    </row>
    <row r="12" spans="1:15" x14ac:dyDescent="0.25">
      <c r="A12" s="2" t="s">
        <v>25</v>
      </c>
      <c r="B12" s="4">
        <v>1495231</v>
      </c>
      <c r="C12" s="3">
        <v>314326</v>
      </c>
      <c r="D12" s="3">
        <v>2288</v>
      </c>
      <c r="E12" s="3">
        <v>33528</v>
      </c>
      <c r="F12" s="3">
        <v>105263</v>
      </c>
      <c r="G12" s="3">
        <v>209063</v>
      </c>
      <c r="H12" s="3">
        <v>1581</v>
      </c>
      <c r="I12" s="3">
        <v>3869</v>
      </c>
      <c r="J12" s="3">
        <v>168335</v>
      </c>
      <c r="K12" s="11">
        <v>15</v>
      </c>
      <c r="L12" s="6">
        <f t="shared" si="0"/>
        <v>2.2423291116890969</v>
      </c>
      <c r="M12" s="6">
        <f t="shared" si="1"/>
        <v>7.039915571573891</v>
      </c>
      <c r="N12" s="10">
        <f t="shared" si="2"/>
        <v>18.298042242302362</v>
      </c>
      <c r="O12" s="13">
        <v>2587.0584649876969</v>
      </c>
    </row>
    <row r="13" spans="1:15" x14ac:dyDescent="0.25">
      <c r="A13" s="2" t="s">
        <v>26</v>
      </c>
      <c r="B13" s="4">
        <v>1168715</v>
      </c>
      <c r="C13" s="3">
        <v>196100</v>
      </c>
      <c r="D13" s="3">
        <v>3110</v>
      </c>
      <c r="E13" s="3">
        <v>29624</v>
      </c>
      <c r="F13" s="3">
        <v>126697</v>
      </c>
      <c r="G13" s="3">
        <v>69403</v>
      </c>
      <c r="H13" s="3">
        <v>497</v>
      </c>
      <c r="I13" s="3">
        <v>3607</v>
      </c>
      <c r="J13" s="3">
        <v>45784</v>
      </c>
      <c r="K13" s="11">
        <v>12</v>
      </c>
      <c r="L13" s="6">
        <f t="shared" si="0"/>
        <v>2.5347497037344433</v>
      </c>
      <c r="M13" s="6">
        <f t="shared" si="1"/>
        <v>10.840709668310923</v>
      </c>
      <c r="N13" s="10">
        <f t="shared" si="2"/>
        <v>14.75817457635095</v>
      </c>
      <c r="O13" s="13">
        <v>332.57905080625397</v>
      </c>
    </row>
    <row r="14" spans="1:15" x14ac:dyDescent="0.25">
      <c r="A14" s="2" t="s">
        <v>27</v>
      </c>
      <c r="B14" s="4">
        <v>290518</v>
      </c>
      <c r="C14" s="3">
        <v>39999</v>
      </c>
      <c r="D14" s="3">
        <v>0</v>
      </c>
      <c r="E14" s="3">
        <v>0</v>
      </c>
      <c r="F14" s="3">
        <v>0</v>
      </c>
      <c r="G14" s="3">
        <v>39999</v>
      </c>
      <c r="H14" s="3">
        <v>732</v>
      </c>
      <c r="I14" s="3">
        <v>732</v>
      </c>
      <c r="J14" s="3">
        <v>20664</v>
      </c>
      <c r="K14" s="11">
        <v>12</v>
      </c>
      <c r="L14" s="6">
        <f t="shared" si="0"/>
        <v>0</v>
      </c>
      <c r="M14" s="6">
        <f t="shared" si="1"/>
        <v>0</v>
      </c>
      <c r="N14" s="10">
        <f t="shared" si="2"/>
        <v>7.1128122870183601</v>
      </c>
      <c r="O14" s="13">
        <v>633.85745454545452</v>
      </c>
    </row>
    <row r="15" spans="1:15" x14ac:dyDescent="0.25">
      <c r="A15" s="2" t="s">
        <v>28</v>
      </c>
      <c r="B15" s="4">
        <v>2409239</v>
      </c>
      <c r="C15" s="3">
        <v>1166044</v>
      </c>
      <c r="D15" s="3">
        <v>1360</v>
      </c>
      <c r="E15" s="3">
        <v>4689</v>
      </c>
      <c r="F15" s="3">
        <v>117471</v>
      </c>
      <c r="G15" s="3">
        <v>1048573</v>
      </c>
      <c r="H15" s="3">
        <v>8430</v>
      </c>
      <c r="I15" s="3">
        <v>9790</v>
      </c>
      <c r="J15" s="3">
        <v>652419</v>
      </c>
      <c r="K15" s="11">
        <v>12</v>
      </c>
      <c r="L15" s="6">
        <f t="shared" si="0"/>
        <v>0.19462577187236302</v>
      </c>
      <c r="M15" s="6">
        <f t="shared" si="1"/>
        <v>4.8758549898951493</v>
      </c>
      <c r="N15" s="10">
        <f t="shared" si="2"/>
        <v>31.955733739990094</v>
      </c>
      <c r="O15" s="13">
        <v>1987.1052838572921</v>
      </c>
    </row>
    <row r="16" spans="1:15" x14ac:dyDescent="0.25">
      <c r="A16" s="2" t="s">
        <v>29</v>
      </c>
      <c r="B16" s="4">
        <v>3469847</v>
      </c>
      <c r="C16" s="3">
        <v>1184771</v>
      </c>
      <c r="D16" s="3">
        <v>2940</v>
      </c>
      <c r="E16" s="3">
        <v>77622</v>
      </c>
      <c r="F16" s="3">
        <v>171846</v>
      </c>
      <c r="G16" s="3">
        <v>1012926</v>
      </c>
      <c r="H16" s="3">
        <v>8307</v>
      </c>
      <c r="I16" s="3">
        <v>11247</v>
      </c>
      <c r="J16" s="3">
        <v>650917</v>
      </c>
      <c r="K16" s="11">
        <v>12</v>
      </c>
      <c r="L16" s="6">
        <f t="shared" si="0"/>
        <v>2.2370438811855395</v>
      </c>
      <c r="M16" s="6">
        <f t="shared" si="1"/>
        <v>4.9525526629848526</v>
      </c>
      <c r="N16" s="10">
        <f t="shared" si="2"/>
        <v>23.711794785187937</v>
      </c>
      <c r="O16" s="13">
        <v>4183.5991620404311</v>
      </c>
    </row>
    <row r="17" spans="1:26" ht="15.75" customHeight="1" thickBot="1" x14ac:dyDescent="0.3">
      <c r="A17" s="25" t="s">
        <v>30</v>
      </c>
      <c r="B17" s="14">
        <v>2610463</v>
      </c>
      <c r="C17" s="26">
        <v>900928</v>
      </c>
      <c r="D17" s="26">
        <v>1131</v>
      </c>
      <c r="E17" s="26">
        <v>28105</v>
      </c>
      <c r="F17" s="26">
        <v>55079</v>
      </c>
      <c r="G17" s="26">
        <v>845849</v>
      </c>
      <c r="H17" s="26">
        <v>7197</v>
      </c>
      <c r="I17" s="26">
        <v>8328</v>
      </c>
      <c r="J17" s="26">
        <v>564240</v>
      </c>
      <c r="K17" s="27">
        <v>12</v>
      </c>
      <c r="L17" s="15">
        <f t="shared" si="0"/>
        <v>1.0766289351735687</v>
      </c>
      <c r="M17" s="15">
        <f t="shared" si="1"/>
        <v>2.1099322227512896</v>
      </c>
      <c r="N17" s="16">
        <f t="shared" si="2"/>
        <v>23.724488720966356</v>
      </c>
      <c r="O17" s="17">
        <v>5301.4341102779636</v>
      </c>
    </row>
    <row r="18" spans="1:26" ht="15.75" customHeight="1" thickBot="1" x14ac:dyDescent="0.3">
      <c r="A18" s="22" t="s">
        <v>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26" x14ac:dyDescent="0.25">
      <c r="A19" s="28" t="s">
        <v>32</v>
      </c>
      <c r="B19" s="29">
        <v>9298927</v>
      </c>
      <c r="C19" s="29">
        <v>8673006</v>
      </c>
      <c r="D19" s="29">
        <v>679</v>
      </c>
      <c r="E19" s="29">
        <v>6296</v>
      </c>
      <c r="F19" s="29">
        <v>49062</v>
      </c>
      <c r="G19" s="29">
        <v>8623944</v>
      </c>
      <c r="H19" s="29">
        <v>58495</v>
      </c>
      <c r="I19" s="29">
        <v>59174</v>
      </c>
      <c r="J19" s="29">
        <v>4666380</v>
      </c>
      <c r="K19" s="7">
        <v>7</v>
      </c>
      <c r="L19" s="5">
        <f t="shared" ref="L19:L24" si="3">100/B19*E19</f>
        <v>6.7706736486908642E-2</v>
      </c>
      <c r="M19" s="5">
        <f t="shared" ref="M19:M24" si="4">100/B19*F19</f>
        <v>0.52760926072438252</v>
      </c>
      <c r="N19" s="8">
        <f t="shared" ref="N19:N24" si="5">100/B19*(F19+J19)</f>
        <v>50.709528099317261</v>
      </c>
      <c r="O19" s="24">
        <v>8329.5606031144252</v>
      </c>
    </row>
    <row r="20" spans="1:26" s="47" customFormat="1" x14ac:dyDescent="0.25">
      <c r="A20" s="42" t="s">
        <v>33</v>
      </c>
      <c r="B20" s="41">
        <v>663931</v>
      </c>
      <c r="C20" s="41">
        <v>379631</v>
      </c>
      <c r="D20" s="47">
        <v>7566</v>
      </c>
      <c r="E20" s="41">
        <v>13354</v>
      </c>
      <c r="F20" s="41">
        <v>39071</v>
      </c>
      <c r="G20" s="41">
        <v>350019</v>
      </c>
      <c r="H20" s="41">
        <v>3541</v>
      </c>
      <c r="I20" s="41">
        <v>11107</v>
      </c>
      <c r="J20" s="41">
        <v>27343</v>
      </c>
      <c r="K20" s="43">
        <v>30</v>
      </c>
      <c r="L20" s="44">
        <f t="shared" si="3"/>
        <v>2.011353589454326</v>
      </c>
      <c r="M20" s="44">
        <f t="shared" si="4"/>
        <v>5.8847982696997132</v>
      </c>
      <c r="N20" s="45">
        <f t="shared" si="5"/>
        <v>10.003147917479378</v>
      </c>
      <c r="O20" s="46">
        <v>4354</v>
      </c>
    </row>
    <row r="21" spans="1:26" s="47" customFormat="1" x14ac:dyDescent="0.25">
      <c r="A21" s="42" t="s">
        <v>34</v>
      </c>
      <c r="B21" s="41">
        <v>1278101</v>
      </c>
      <c r="C21" s="41">
        <v>462167</v>
      </c>
      <c r="D21" s="47">
        <v>10714</v>
      </c>
      <c r="E21" s="41">
        <v>21533</v>
      </c>
      <c r="F21" s="41">
        <v>46054</v>
      </c>
      <c r="G21" s="41">
        <v>434268</v>
      </c>
      <c r="H21" s="41">
        <v>4510</v>
      </c>
      <c r="I21" s="41">
        <v>15224</v>
      </c>
      <c r="J21" s="41">
        <v>32415</v>
      </c>
      <c r="K21" s="43">
        <v>30</v>
      </c>
      <c r="L21" s="44">
        <f t="shared" si="3"/>
        <v>1.6847651320200827</v>
      </c>
      <c r="M21" s="44">
        <f t="shared" si="4"/>
        <v>3.6033146050273022</v>
      </c>
      <c r="N21" s="45">
        <f t="shared" si="5"/>
        <v>6.1394991475634546</v>
      </c>
      <c r="O21" s="46">
        <v>6078</v>
      </c>
    </row>
    <row r="22" spans="1:26" x14ac:dyDescent="0.25">
      <c r="A22" s="12" t="s">
        <v>35</v>
      </c>
      <c r="B22" s="4">
        <v>1682332</v>
      </c>
      <c r="C22" s="4">
        <v>1839541</v>
      </c>
      <c r="D22" s="4">
        <v>5701</v>
      </c>
      <c r="E22" s="4">
        <v>152819</v>
      </c>
      <c r="F22" s="4">
        <v>304966</v>
      </c>
      <c r="G22" s="4">
        <v>1534575</v>
      </c>
      <c r="H22" s="4">
        <v>8554</v>
      </c>
      <c r="I22" s="4">
        <v>14255</v>
      </c>
      <c r="J22" s="4">
        <v>983165</v>
      </c>
      <c r="K22" s="9">
        <v>30</v>
      </c>
      <c r="L22" s="6">
        <f t="shared" si="3"/>
        <v>9.0837599237249247</v>
      </c>
      <c r="M22" s="6">
        <f t="shared" si="4"/>
        <v>18.127575294293873</v>
      </c>
      <c r="N22" s="10">
        <f t="shared" si="5"/>
        <v>76.56818035916811</v>
      </c>
      <c r="O22" s="13">
        <v>3733.797385938105</v>
      </c>
    </row>
    <row r="23" spans="1:26" x14ac:dyDescent="0.25">
      <c r="A23" s="12" t="s">
        <v>36</v>
      </c>
      <c r="B23" s="4">
        <v>80077</v>
      </c>
      <c r="C23" s="4">
        <v>80077</v>
      </c>
      <c r="D23" s="4">
        <v>256</v>
      </c>
      <c r="E23" s="4">
        <v>409</v>
      </c>
      <c r="F23" s="4">
        <v>16907</v>
      </c>
      <c r="G23" s="4">
        <v>63170</v>
      </c>
      <c r="H23" s="4">
        <v>284</v>
      </c>
      <c r="I23" s="4">
        <v>540</v>
      </c>
      <c r="J23" s="4">
        <v>42742</v>
      </c>
      <c r="K23" s="9">
        <v>30</v>
      </c>
      <c r="L23" s="6">
        <f t="shared" si="3"/>
        <v>0.5107583950447695</v>
      </c>
      <c r="M23" s="6">
        <f t="shared" si="4"/>
        <v>21.11342832523696</v>
      </c>
      <c r="N23" s="10">
        <f t="shared" si="5"/>
        <v>74.489553804463213</v>
      </c>
      <c r="O23" s="13">
        <v>107.7495475246939</v>
      </c>
    </row>
    <row r="24" spans="1:26" ht="15.75" customHeight="1" thickBot="1" x14ac:dyDescent="0.3">
      <c r="A24" s="30" t="s">
        <v>37</v>
      </c>
      <c r="B24" s="31">
        <v>457531</v>
      </c>
      <c r="C24" s="31">
        <v>457532</v>
      </c>
      <c r="D24" s="31">
        <v>117</v>
      </c>
      <c r="E24" s="31">
        <v>2865</v>
      </c>
      <c r="F24" s="31">
        <v>9424</v>
      </c>
      <c r="G24" s="31">
        <v>448108</v>
      </c>
      <c r="H24" s="31">
        <v>3641</v>
      </c>
      <c r="I24" s="31">
        <v>3758</v>
      </c>
      <c r="J24" s="31">
        <v>285445</v>
      </c>
      <c r="K24" s="32">
        <v>30</v>
      </c>
      <c r="L24" s="33">
        <f t="shared" si="3"/>
        <v>0.62618707803405671</v>
      </c>
      <c r="M24" s="33">
        <f t="shared" si="4"/>
        <v>2.0597511425455326</v>
      </c>
      <c r="N24" s="34">
        <f t="shared" si="5"/>
        <v>64.447873477425574</v>
      </c>
      <c r="O24" s="35">
        <v>1587.0893569609509</v>
      </c>
    </row>
    <row r="25" spans="1:26" ht="15.75" customHeight="1" thickBot="1" x14ac:dyDescent="0.3">
      <c r="A25" s="48" t="s">
        <v>38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50"/>
      <c r="Y25" s="36"/>
      <c r="Z25" s="36"/>
    </row>
    <row r="26" spans="1:26" x14ac:dyDescent="0.25">
      <c r="A26" s="12" t="s">
        <v>39</v>
      </c>
      <c r="B26" s="4">
        <v>132158</v>
      </c>
      <c r="C26" s="37">
        <v>81922</v>
      </c>
      <c r="D26" s="37">
        <v>0</v>
      </c>
      <c r="E26" s="37">
        <v>0</v>
      </c>
      <c r="F26" s="37">
        <v>0</v>
      </c>
      <c r="G26" s="37">
        <v>81922</v>
      </c>
      <c r="H26" s="37">
        <v>1532</v>
      </c>
      <c r="I26" s="37">
        <v>1532</v>
      </c>
      <c r="J26" s="37">
        <v>43247</v>
      </c>
      <c r="K26" s="37">
        <v>50</v>
      </c>
      <c r="L26" s="33">
        <f>100/B26*E26</f>
        <v>0</v>
      </c>
      <c r="M26" s="33">
        <f>100/B26*F26</f>
        <v>0</v>
      </c>
      <c r="N26" s="34">
        <f>100/B26*(F26+J26)</f>
        <v>32.72370949923576</v>
      </c>
      <c r="O26" s="35">
        <v>1201.4363636363639</v>
      </c>
      <c r="P26" s="37"/>
      <c r="Q26" s="37"/>
      <c r="R26" s="37"/>
      <c r="S26" s="38"/>
      <c r="T26" s="38"/>
      <c r="U26" s="38"/>
      <c r="V26" s="38"/>
      <c r="W26" s="38"/>
      <c r="X26" s="39"/>
      <c r="Y26" s="36"/>
      <c r="Z26" s="36"/>
    </row>
    <row r="27" spans="1:26" x14ac:dyDescent="0.25">
      <c r="A27" s="12" t="s">
        <v>40</v>
      </c>
      <c r="B27" s="4">
        <v>159185</v>
      </c>
      <c r="C27" s="37">
        <v>79967</v>
      </c>
      <c r="D27" s="37">
        <v>48</v>
      </c>
      <c r="E27" s="37">
        <v>284</v>
      </c>
      <c r="F27" s="37">
        <v>1753</v>
      </c>
      <c r="G27" s="37">
        <v>78214</v>
      </c>
      <c r="H27" s="37">
        <v>698</v>
      </c>
      <c r="I27" s="37">
        <v>746</v>
      </c>
      <c r="J27" s="37">
        <v>54728</v>
      </c>
      <c r="K27" s="37">
        <v>50</v>
      </c>
      <c r="L27" s="33">
        <f>100/B27*E27</f>
        <v>0.17840876967050914</v>
      </c>
      <c r="M27" s="33">
        <f>100/B27*F27</f>
        <v>1.1012344127901497</v>
      </c>
      <c r="N27" s="34">
        <f>100/B27*(F27+J27)</f>
        <v>35.481358168169109</v>
      </c>
      <c r="O27" s="35">
        <v>2131.3725042783799</v>
      </c>
      <c r="P27" s="37"/>
      <c r="Q27" s="37"/>
      <c r="R27" s="37"/>
      <c r="S27" s="38"/>
      <c r="T27" s="38"/>
      <c r="U27" s="38"/>
      <c r="V27" s="40"/>
      <c r="W27" s="40"/>
      <c r="X27" s="39"/>
      <c r="Y27" s="36"/>
      <c r="Z27" s="36"/>
    </row>
    <row r="28" spans="1:26" x14ac:dyDescent="0.25">
      <c r="A28" s="12" t="s">
        <v>41</v>
      </c>
      <c r="B28" s="4">
        <v>140509</v>
      </c>
      <c r="C28" s="37">
        <v>61512</v>
      </c>
      <c r="D28" s="37">
        <v>0</v>
      </c>
      <c r="E28" s="37">
        <v>0</v>
      </c>
      <c r="F28" s="37">
        <v>0</v>
      </c>
      <c r="G28" s="37">
        <v>61512</v>
      </c>
      <c r="H28" s="37">
        <v>1026</v>
      </c>
      <c r="I28" s="37">
        <v>1026</v>
      </c>
      <c r="J28" s="37">
        <v>28963</v>
      </c>
      <c r="K28" s="37">
        <v>50</v>
      </c>
      <c r="L28" s="33">
        <f>100/B28*E28</f>
        <v>0</v>
      </c>
      <c r="M28" s="33">
        <f>100/B28*F28</f>
        <v>0</v>
      </c>
      <c r="N28" s="34">
        <f>100/B28*(F28+J28)</f>
        <v>20.612914475229342</v>
      </c>
      <c r="O28" s="35">
        <v>1277.3545454545449</v>
      </c>
      <c r="P28" s="37"/>
      <c r="Q28" s="37"/>
      <c r="R28" s="37"/>
      <c r="S28" s="38"/>
      <c r="T28" s="38"/>
      <c r="U28" s="38"/>
      <c r="V28" s="38"/>
      <c r="W28" s="38"/>
      <c r="X28" s="39"/>
      <c r="Y28" s="36"/>
      <c r="Z28" s="36"/>
    </row>
    <row r="29" spans="1:26" x14ac:dyDescent="0.25">
      <c r="A29" s="12" t="s">
        <v>42</v>
      </c>
      <c r="B29" s="4">
        <v>5120</v>
      </c>
      <c r="C29" s="37">
        <v>2180</v>
      </c>
      <c r="D29" s="37">
        <v>19</v>
      </c>
      <c r="E29" s="37">
        <v>458</v>
      </c>
      <c r="F29" s="37">
        <v>926</v>
      </c>
      <c r="G29" s="37">
        <v>1254</v>
      </c>
      <c r="H29" s="37">
        <v>6</v>
      </c>
      <c r="I29" s="37">
        <v>25</v>
      </c>
      <c r="J29" s="37">
        <v>470</v>
      </c>
      <c r="K29" s="37">
        <v>50</v>
      </c>
      <c r="L29" s="33">
        <f>100/B29*E29</f>
        <v>8.9453125</v>
      </c>
      <c r="M29" s="33">
        <f>100/B29*F29</f>
        <v>18.0859375</v>
      </c>
      <c r="N29" s="34">
        <f>100/B29*(F29+J29)</f>
        <v>27.265625</v>
      </c>
      <c r="O29" s="35">
        <v>33.52699784017279</v>
      </c>
      <c r="P29" s="37"/>
      <c r="Q29" s="37"/>
      <c r="R29" s="37"/>
      <c r="S29" s="38"/>
      <c r="T29" s="38"/>
      <c r="U29" s="38"/>
      <c r="V29" s="38"/>
      <c r="W29" s="38"/>
      <c r="X29" s="39"/>
      <c r="Y29" s="36"/>
      <c r="Z29" s="36"/>
    </row>
    <row r="30" spans="1:26" x14ac:dyDescent="0.25">
      <c r="A30" s="12" t="s">
        <v>43</v>
      </c>
      <c r="B30" s="4">
        <v>63501</v>
      </c>
      <c r="C30" s="37">
        <v>22552</v>
      </c>
      <c r="D30" s="37">
        <v>4</v>
      </c>
      <c r="E30" s="37">
        <v>66</v>
      </c>
      <c r="F30" s="37">
        <v>179</v>
      </c>
      <c r="G30" s="37">
        <v>22373</v>
      </c>
      <c r="H30" s="37">
        <v>185</v>
      </c>
      <c r="I30" s="37">
        <v>189</v>
      </c>
      <c r="J30" s="37">
        <v>18523</v>
      </c>
      <c r="K30" s="37">
        <v>50</v>
      </c>
      <c r="L30" s="33">
        <f>100/B30*E30</f>
        <v>0.10393537109651817</v>
      </c>
      <c r="M30" s="33">
        <f>100/B30*F30</f>
        <v>0.28188532464055688</v>
      </c>
      <c r="N30" s="34">
        <f>100/B30*(F30+J30)</f>
        <v>29.451504700713375</v>
      </c>
      <c r="O30" s="35">
        <v>705.50837988826811</v>
      </c>
      <c r="P30" s="37"/>
      <c r="Q30" s="37"/>
      <c r="R30" s="37"/>
      <c r="S30" s="38"/>
      <c r="T30" s="38"/>
      <c r="U30" s="38"/>
      <c r="V30" s="38"/>
      <c r="W30" s="38"/>
      <c r="X30" s="39"/>
      <c r="Y30" s="36"/>
      <c r="Z30" s="36"/>
    </row>
  </sheetData>
  <mergeCells count="1">
    <mergeCell ref="A25:X25"/>
  </mergeCells>
  <conditionalFormatting sqref="L3:L17">
    <cfRule type="colorScale" priority="40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39">
      <colorScale>
        <cfvo type="formula" val="$M$4:$M$18&gt;$K$4:$K$18"/>
        <cfvo type="formula" val="$M$4:$M$18&lt;$K$4:$K$18"/>
        <color theme="6" tint="0.59999389629810485"/>
        <color rgb="FFFFEF9C"/>
      </colorScale>
    </cfRule>
    <cfRule type="cellIs" dxfId="19" priority="38" operator="lessThan">
      <formula>$K$3</formula>
    </cfRule>
  </conditionalFormatting>
  <conditionalFormatting sqref="L19">
    <cfRule type="colorScale" priority="30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29">
      <colorScale>
        <cfvo type="formula" val="$M$4:$M$18&gt;$K$4:$K$18"/>
        <cfvo type="formula" val="$M$4:$M$18&lt;$K$4:$K$18"/>
        <color theme="6" tint="0.59999389629810485"/>
        <color rgb="FFFFEF9C"/>
      </colorScale>
    </cfRule>
  </conditionalFormatting>
  <conditionalFormatting sqref="L19:L24">
    <cfRule type="cellIs" dxfId="18" priority="24" operator="lessThan">
      <formula>$K$3</formula>
    </cfRule>
  </conditionalFormatting>
  <conditionalFormatting sqref="L20">
    <cfRule type="colorScale" priority="28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27">
      <colorScale>
        <cfvo type="formula" val="$M$4:$M$18&gt;$K$4:$K$18"/>
        <cfvo type="formula" val="$M$4:$M$18&lt;$K$4:$K$18"/>
        <color theme="6" tint="0.59999389629810485"/>
        <color rgb="FFFFEF9C"/>
      </colorScale>
    </cfRule>
  </conditionalFormatting>
  <conditionalFormatting sqref="L21:L24">
    <cfRule type="colorScale" priority="26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25">
      <colorScale>
        <cfvo type="formula" val="$M$4:$M$18&gt;$K$4:$K$18"/>
        <cfvo type="formula" val="$M$4:$M$18&lt;$K$4:$K$18"/>
        <color theme="6" tint="0.59999389629810485"/>
        <color rgb="FFFFEF9C"/>
      </colorScale>
    </cfRule>
  </conditionalFormatting>
  <conditionalFormatting sqref="L26:L30">
    <cfRule type="colorScale" priority="11">
      <colorScale>
        <cfvo type="formula" val="&quot;M&gt;G&quot;"/>
        <cfvo type="formula" val="&quot;M&lt;G&quot;"/>
        <color theme="6" tint="0.59999389629810485"/>
        <color rgb="FFFFEF9C"/>
      </colorScale>
    </cfRule>
    <cfRule type="cellIs" dxfId="17" priority="9" operator="lessThan">
      <formula>$K$3</formula>
    </cfRule>
    <cfRule type="colorScale" priority="10">
      <colorScale>
        <cfvo type="formula" val="$M$4:$M$18&gt;$K$4:$K$18"/>
        <cfvo type="formula" val="$M$4:$M$18&lt;$K$4:$K$18"/>
        <color theme="6" tint="0.59999389629810485"/>
        <color rgb="FFFFEF9C"/>
      </colorScale>
    </cfRule>
  </conditionalFormatting>
  <conditionalFormatting sqref="L26:M30">
    <cfRule type="cellIs" dxfId="16" priority="6" operator="greaterThan">
      <formula>$K$4</formula>
    </cfRule>
  </conditionalFormatting>
  <conditionalFormatting sqref="L3:N17">
    <cfRule type="cellIs" dxfId="15" priority="37" operator="greaterThan">
      <formula>$K$4</formula>
    </cfRule>
  </conditionalFormatting>
  <conditionalFormatting sqref="L19:N24">
    <cfRule type="cellIs" dxfId="14" priority="15" operator="greaterThan">
      <formula>$K$4</formula>
    </cfRule>
  </conditionalFormatting>
  <conditionalFormatting sqref="M3:M6">
    <cfRule type="cellIs" dxfId="13" priority="33" operator="lessThan">
      <formula>$K$3</formula>
    </cfRule>
  </conditionalFormatting>
  <conditionalFormatting sqref="M3:M17">
    <cfRule type="colorScale" priority="42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41">
      <colorScale>
        <cfvo type="formula" val="$M$4:$M$18&gt;$K$4:$K$18"/>
        <cfvo type="formula" val="$M$4:$M$18&lt;$K$4:$K$18"/>
        <color theme="6" tint="0.59999389629810485"/>
        <color rgb="FFFFEF9C"/>
      </colorScale>
    </cfRule>
  </conditionalFormatting>
  <conditionalFormatting sqref="M8:M17">
    <cfRule type="cellIs" dxfId="12" priority="32" operator="lessThan">
      <formula>$K$3</formula>
    </cfRule>
  </conditionalFormatting>
  <conditionalFormatting sqref="M19">
    <cfRule type="colorScale" priority="22">
      <colorScale>
        <cfvo type="formula" val="$M$4:$M$18&gt;$K$4:$K$18"/>
        <cfvo type="formula" val="$M$4:$M$18&lt;$K$4:$K$18"/>
        <color theme="6" tint="0.59999389629810485"/>
        <color rgb="FFFFEF9C"/>
      </colorScale>
    </cfRule>
    <cfRule type="colorScale" priority="23">
      <colorScale>
        <cfvo type="formula" val="&quot;M&gt;G&quot;"/>
        <cfvo type="formula" val="&quot;M&lt;G&quot;"/>
        <color theme="6" tint="0.59999389629810485"/>
        <color rgb="FFFFEF9C"/>
      </colorScale>
    </cfRule>
  </conditionalFormatting>
  <conditionalFormatting sqref="M19:M24">
    <cfRule type="cellIs" dxfId="11" priority="14" operator="lessThan">
      <formula>$K$3</formula>
    </cfRule>
  </conditionalFormatting>
  <conditionalFormatting sqref="M20">
    <cfRule type="colorScale" priority="21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20">
      <colorScale>
        <cfvo type="formula" val="$M$4:$M$18&gt;$K$4:$K$18"/>
        <cfvo type="formula" val="$M$4:$M$18&lt;$K$4:$K$18"/>
        <color theme="6" tint="0.59999389629810485"/>
        <color rgb="FFFFEF9C"/>
      </colorScale>
    </cfRule>
  </conditionalFormatting>
  <conditionalFormatting sqref="M21 M24">
    <cfRule type="colorScale" priority="19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18">
      <colorScale>
        <cfvo type="formula" val="$M$4:$M$18&gt;$K$4:$K$18"/>
        <cfvo type="formula" val="$M$4:$M$18&lt;$K$4:$K$18"/>
        <color theme="6" tint="0.59999389629810485"/>
        <color rgb="FFFFEF9C"/>
      </colorScale>
    </cfRule>
  </conditionalFormatting>
  <conditionalFormatting sqref="M22:M23">
    <cfRule type="colorScale" priority="17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16">
      <colorScale>
        <cfvo type="formula" val="$M$4:$M$18&gt;$K$4:$K$18"/>
        <cfvo type="formula" val="$M$4:$M$18&lt;$K$4:$K$18"/>
        <color theme="6" tint="0.59999389629810485"/>
        <color rgb="FFFFEF9C"/>
      </colorScale>
    </cfRule>
    <cfRule type="cellIs" dxfId="10" priority="13" operator="lessThan">
      <formula>$K$22</formula>
    </cfRule>
  </conditionalFormatting>
  <conditionalFormatting sqref="M26:M30">
    <cfRule type="cellIs" dxfId="9" priority="5" operator="lessThan">
      <formula>$K$3</formula>
    </cfRule>
    <cfRule type="colorScale" priority="8">
      <colorScale>
        <cfvo type="formula" val="&quot;M&gt;G&quot;"/>
        <cfvo type="formula" val="&quot;M&lt;G&quot;"/>
        <color theme="6" tint="0.59999389629810485"/>
        <color rgb="FFFFEF9C"/>
      </colorScale>
    </cfRule>
    <cfRule type="colorScale" priority="7">
      <colorScale>
        <cfvo type="formula" val="$M$4:$M$18&gt;$K$4:$K$18"/>
        <cfvo type="formula" val="$M$4:$M$18&lt;$K$4:$K$18"/>
        <color theme="6" tint="0.59999389629810485"/>
        <color rgb="FFFFEF9C"/>
      </colorScale>
    </cfRule>
  </conditionalFormatting>
  <conditionalFormatting sqref="M29">
    <cfRule type="cellIs" dxfId="8" priority="1" operator="lessThan">
      <formula>$K$33</formula>
    </cfRule>
  </conditionalFormatting>
  <conditionalFormatting sqref="N9">
    <cfRule type="cellIs" dxfId="7" priority="34" operator="lessThan">
      <formula>$K$9</formula>
    </cfRule>
  </conditionalFormatting>
  <conditionalFormatting sqref="N13">
    <cfRule type="cellIs" dxfId="6" priority="12" operator="greaterThan">
      <formula>$K$13</formula>
    </cfRule>
  </conditionalFormatting>
  <conditionalFormatting sqref="N13:N14">
    <cfRule type="cellIs" dxfId="5" priority="31" operator="lessThan">
      <formula>$K$9</formula>
    </cfRule>
  </conditionalFormatting>
  <conditionalFormatting sqref="N14">
    <cfRule type="cellIs" dxfId="4" priority="35" operator="equal">
      <formula>$K$14</formula>
    </cfRule>
    <cfRule type="cellIs" dxfId="3" priority="36" operator="greaterThan">
      <formula>$K$14</formula>
    </cfRule>
  </conditionalFormatting>
  <conditionalFormatting sqref="N26:N30">
    <cfRule type="cellIs" dxfId="2" priority="2" operator="lessThan">
      <formula>$K$26</formula>
    </cfRule>
    <cfRule type="cellIs" dxfId="1" priority="3" operator="greaterThan">
      <formula>$K$26</formula>
    </cfRule>
    <cfRule type="cellIs" dxfId="0" priority="4" operator="greaterThan">
      <formula>$K$4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Ullah</dc:creator>
  <cp:lastModifiedBy>Saeed Ullah</cp:lastModifiedBy>
  <dcterms:created xsi:type="dcterms:W3CDTF">2026-06-29T10:25:00Z</dcterms:created>
  <dcterms:modified xsi:type="dcterms:W3CDTF">2026-07-29T06:40:46Z</dcterms:modified>
</cp:coreProperties>
</file>