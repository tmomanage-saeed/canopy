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warre_daak0oy\Downloads\"/>
    </mc:Choice>
  </mc:AlternateContent>
  <xr:revisionPtr revIDLastSave="0" documentId="13_ncr:1_{A8A9B24B-8045-475D-98B4-E53986538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eeCanopy_Wadi_Area_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I12" i="1"/>
  <c r="J12" i="1"/>
  <c r="K12" i="1"/>
  <c r="L12" i="1"/>
  <c r="M12" i="1"/>
  <c r="Q3" i="1"/>
  <c r="R3" i="1"/>
  <c r="D6" i="1"/>
  <c r="E6" i="1"/>
  <c r="F6" i="1"/>
  <c r="G6" i="1"/>
  <c r="I6" i="1"/>
  <c r="J6" i="1"/>
  <c r="K6" i="1"/>
  <c r="L6" i="1"/>
  <c r="M6" i="1"/>
  <c r="R6" i="1"/>
  <c r="R10" i="1"/>
  <c r="R9" i="1"/>
  <c r="R8" i="1"/>
  <c r="Q10" i="1"/>
  <c r="Q9" i="1"/>
  <c r="Q8" i="1"/>
  <c r="P12" i="1"/>
  <c r="O12" i="1"/>
  <c r="N12" i="1"/>
  <c r="P6" i="1"/>
  <c r="O6" i="1"/>
  <c r="N6" i="1"/>
  <c r="R2" i="1"/>
  <c r="Q4" i="1"/>
  <c r="R4" i="1"/>
  <c r="Q2" i="1"/>
  <c r="H12" i="1" l="1"/>
  <c r="H6" i="1"/>
  <c r="R12" i="1"/>
  <c r="Q12" i="1"/>
  <c r="Q6" i="1"/>
</calcChain>
</file>

<file path=xl/sharedStrings.xml><?xml version="1.0" encoding="utf-8"?>
<sst xmlns="http://schemas.openxmlformats.org/spreadsheetml/2006/main" count="33" uniqueCount="26">
  <si>
    <t>OBJECTID</t>
  </si>
  <si>
    <t>Project Name</t>
  </si>
  <si>
    <t>Area Type</t>
  </si>
  <si>
    <t>Boundary area (m2)</t>
  </si>
  <si>
    <t>Plantable area (m2)</t>
  </si>
  <si>
    <t>Current trees</t>
  </si>
  <si>
    <t>Current canopy cover (m2)</t>
  </si>
  <si>
    <t>Current canopy cover (%)</t>
  </si>
  <si>
    <t>Mature canopy current trees (m2)</t>
  </si>
  <si>
    <t>Remaining plantable area (m2)</t>
  </si>
  <si>
    <t>Potential additional trees</t>
  </si>
  <si>
    <t>Total trees</t>
  </si>
  <si>
    <t>Potential additional canopy (m2)</t>
  </si>
  <si>
    <t>Trees to be transplanted</t>
  </si>
  <si>
    <t>Current canopy after planting (m2)</t>
  </si>
  <si>
    <t>Mature canopy after planting (m2)</t>
  </si>
  <si>
    <t>Mature canopy cover (%)</t>
  </si>
  <si>
    <t>Possible canopy cover (%)</t>
  </si>
  <si>
    <t>Slope plant increase (%)</t>
  </si>
  <si>
    <t>Wadi_Ghuduwanah_Slop</t>
  </si>
  <si>
    <t>SLOPE</t>
  </si>
  <si>
    <t>Wadi_Ghuduwana</t>
  </si>
  <si>
    <t>TOP</t>
  </si>
  <si>
    <t>WADI_BED</t>
  </si>
  <si>
    <t>Wadi_UmmQasr_Slop</t>
  </si>
  <si>
    <t>Wadi_UmmQasr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</si>
</sst>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" fillId="2" borderId="1">
      <alignment horizontal="left"/>
    </xf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1">
      <alignment horizontal="left"/>
    </xf>
    <xf numFmtId="43" fontId="0" fillId="0" borderId="0" xfId="2" applyFont="1"/>
    <xf numFmtId="164" fontId="0" fillId="0" borderId="0" xfId="2" applyNumberFormat="1" applyFont="1"/>
    <xf numFmtId="164" fontId="0" fillId="0" borderId="0" xfId="0" applyNumberFormat="1"/>
    <xf numFmtId="164" fontId="3" fillId="0" borderId="0" xfId="0" applyNumberFormat="1" applyFont="1"/>
    <xf numFmtId="0" fontId="3" fillId="0" borderId="0" xfId="0" applyFont="1"/>
    <xf numFmtId="43" fontId="3" fillId="0" borderId="0" xfId="2" applyFont="1"/>
  </cellXfs>
  <cellStyles count="3">
    <cellStyle name="Comma" xfId="2" builtinId="3"/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R30" sqref="R30"/>
    </sheetView>
  </sheetViews>
  <sheetFormatPr defaultRowHeight="15"/>
  <cols>
    <col min="1" max="1" width="10" bestFit="1" customWidth="1"/>
    <col min="2" max="2" width="22.85546875" bestFit="1" customWidth="1"/>
    <col min="3" max="3" width="10.5703125" bestFit="1" customWidth="1"/>
    <col min="4" max="4" width="20.140625" bestFit="1" customWidth="1"/>
    <col min="5" max="5" width="19.85546875" bestFit="1" customWidth="1"/>
    <col min="6" max="6" width="13.5703125" bestFit="1" customWidth="1"/>
    <col min="7" max="7" width="26.85546875" bestFit="1" customWidth="1"/>
    <col min="8" max="8" width="26.42578125" bestFit="1" customWidth="1"/>
    <col min="9" max="9" width="35.140625" bestFit="1" customWidth="1"/>
    <col min="10" max="10" width="31.7109375" bestFit="1" customWidth="1"/>
    <col min="11" max="11" width="27.42578125" customWidth="1"/>
    <col min="12" max="12" width="11.42578125" bestFit="1" customWidth="1"/>
    <col min="13" max="13" width="33.28515625" bestFit="1" customWidth="1"/>
    <col min="14" max="14" width="25.5703125" bestFit="1" customWidth="1"/>
    <col min="15" max="15" width="35" bestFit="1" customWidth="1"/>
    <col min="16" max="16" width="34.85546875" bestFit="1" customWidth="1"/>
    <col min="17" max="17" width="25.5703125" bestFit="1" customWidth="1"/>
    <col min="18" max="18" width="26.140625" bestFit="1" customWidth="1"/>
    <col min="19" max="19" width="24.140625" bestFit="1" customWidth="1"/>
  </cols>
  <sheetData>
    <row r="1" spans="1:19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20</v>
      </c>
      <c r="D2" s="3">
        <v>176646.469924656</v>
      </c>
      <c r="E2" s="3">
        <v>164005.3098954423</v>
      </c>
      <c r="F2">
        <v>1164</v>
      </c>
      <c r="G2" s="3">
        <v>3010.418486394401</v>
      </c>
      <c r="H2" s="2">
        <v>1.7042052907586649</v>
      </c>
      <c r="I2" s="3">
        <v>4824.3396963394744</v>
      </c>
      <c r="J2" s="3">
        <v>159473.44078769119</v>
      </c>
      <c r="K2" s="3">
        <v>3251</v>
      </c>
      <c r="L2" s="3">
        <v>4415</v>
      </c>
      <c r="M2" s="3">
        <v>24232.792126503118</v>
      </c>
      <c r="N2" s="3">
        <v>631</v>
      </c>
      <c r="O2" s="3">
        <v>27243.210612897521</v>
      </c>
      <c r="P2" s="3">
        <v>29057.131822842599</v>
      </c>
      <c r="Q2" s="2">
        <f>SUM(P2/D2*100)</f>
        <v>16.44931361223135</v>
      </c>
      <c r="R2" s="2">
        <f>SUM(M2/P2*100/10)</f>
        <v>8.3397054720497437</v>
      </c>
      <c r="S2">
        <v>10</v>
      </c>
    </row>
    <row r="3" spans="1:19">
      <c r="A3">
        <v>2</v>
      </c>
      <c r="B3" t="s">
        <v>21</v>
      </c>
      <c r="C3" t="s">
        <v>22</v>
      </c>
      <c r="D3" s="3">
        <v>241349.36815820649</v>
      </c>
      <c r="E3" s="3">
        <v>241349.36815820649</v>
      </c>
      <c r="F3">
        <v>4471</v>
      </c>
      <c r="G3" s="3">
        <v>12779.575288932039</v>
      </c>
      <c r="H3" s="2">
        <v>5.2950523079699634</v>
      </c>
      <c r="I3" s="3">
        <v>24604.607944135361</v>
      </c>
      <c r="J3" s="3">
        <v>218355.16509360401</v>
      </c>
      <c r="K3" s="3">
        <v>1823</v>
      </c>
      <c r="L3" s="3">
        <v>6294</v>
      </c>
      <c r="M3" s="3">
        <v>14856.24377022987</v>
      </c>
      <c r="N3" s="3">
        <v>2654</v>
      </c>
      <c r="O3" s="3">
        <v>27635.81905916191</v>
      </c>
      <c r="P3" s="3">
        <v>39460.851714365243</v>
      </c>
      <c r="Q3" s="2">
        <f>SUM(P3/D3*100)</f>
        <v>16.350095306028862</v>
      </c>
      <c r="R3" s="2">
        <f>SUM(M3/P3*100)</f>
        <v>37.648056554292857</v>
      </c>
      <c r="S3">
        <v>0</v>
      </c>
    </row>
    <row r="4" spans="1:19">
      <c r="A4">
        <v>3</v>
      </c>
      <c r="B4" t="s">
        <v>21</v>
      </c>
      <c r="C4" t="s">
        <v>23</v>
      </c>
      <c r="D4" s="3">
        <v>157760.678620374</v>
      </c>
      <c r="E4" s="3">
        <v>157760.678620374</v>
      </c>
      <c r="F4">
        <v>1931</v>
      </c>
      <c r="G4" s="3">
        <v>5025.5025992285873</v>
      </c>
      <c r="H4" s="2">
        <v>3.1855229345974481</v>
      </c>
      <c r="I4" s="3">
        <v>9654.7259466259256</v>
      </c>
      <c r="J4" s="3">
        <v>148684.13781548571</v>
      </c>
      <c r="K4" s="3">
        <v>1985</v>
      </c>
      <c r="L4" s="3">
        <v>3916</v>
      </c>
      <c r="M4" s="3">
        <v>13951.8988942579</v>
      </c>
      <c r="N4" s="3">
        <v>983</v>
      </c>
      <c r="O4" s="3">
        <v>18977.40149348649</v>
      </c>
      <c r="P4" s="3">
        <v>23606.624840883829</v>
      </c>
      <c r="Q4" s="2">
        <f t="shared" ref="Q4" si="0">SUM(P4/D4*100)</f>
        <v>14.963566997381786</v>
      </c>
      <c r="R4" s="2">
        <f t="shared" ref="R4" si="1">SUM(M4/P4*100)</f>
        <v>59.101625023899615</v>
      </c>
      <c r="S4">
        <v>0</v>
      </c>
    </row>
    <row r="6" spans="1:19">
      <c r="B6" s="6" t="s">
        <v>21</v>
      </c>
      <c r="D6" s="5">
        <f>SUM(D2:D5)</f>
        <v>575756.5167032365</v>
      </c>
      <c r="E6" s="5">
        <f>SUM(E2:E5)</f>
        <v>563115.35667402274</v>
      </c>
      <c r="F6" s="6">
        <f>SUM(F2:F4)</f>
        <v>7566</v>
      </c>
      <c r="G6" s="5">
        <f>SUM(G2:G4)</f>
        <v>20815.496374555027</v>
      </c>
      <c r="H6" s="7">
        <f>SUM(G6/D6*100)</f>
        <v>3.6153297046021984</v>
      </c>
      <c r="I6" s="5">
        <f>SUM(I2:I5)</f>
        <v>39083.673587100762</v>
      </c>
      <c r="J6" s="5">
        <f>SUM(J2:J5)</f>
        <v>526512.74369678088</v>
      </c>
      <c r="K6" s="5">
        <f>SUM(K2:K4)</f>
        <v>7059</v>
      </c>
      <c r="L6" s="5">
        <f>SUM(L2:L4)</f>
        <v>14625</v>
      </c>
      <c r="M6" s="5">
        <f>SUM(M2:M4)</f>
        <v>53040.93479099089</v>
      </c>
      <c r="N6" s="5">
        <f>SUM(N2:N4)</f>
        <v>4268</v>
      </c>
      <c r="O6" s="4">
        <f>SUM(O2:O4)</f>
        <v>73856.431165545917</v>
      </c>
      <c r="P6" s="4">
        <f>SUM(P2:P4)</f>
        <v>92124.608378091667</v>
      </c>
      <c r="Q6" s="2">
        <f t="shared" ref="Q6" si="2">SUM(P6/D6*100)</f>
        <v>16.00061930789672</v>
      </c>
      <c r="R6" s="2">
        <f t="shared" ref="R6" si="3">SUM(M6/P6*100)</f>
        <v>57.575207889409775</v>
      </c>
    </row>
    <row r="8" spans="1:19">
      <c r="A8">
        <v>4</v>
      </c>
      <c r="B8" t="s">
        <v>24</v>
      </c>
      <c r="C8" t="s">
        <v>20</v>
      </c>
      <c r="D8" s="3">
        <v>422011.99990898039</v>
      </c>
      <c r="E8" s="3">
        <v>412913.4986629202</v>
      </c>
      <c r="F8" s="3">
        <v>985</v>
      </c>
      <c r="G8" s="3">
        <v>2528.445441626905</v>
      </c>
      <c r="H8" s="2">
        <v>0.59914065054364352</v>
      </c>
      <c r="I8" s="3">
        <v>4921.5501443267294</v>
      </c>
      <c r="J8" s="3">
        <v>410094.39572801592</v>
      </c>
      <c r="K8" s="3">
        <v>9793</v>
      </c>
      <c r="L8" s="3">
        <v>10778</v>
      </c>
      <c r="M8" s="3">
        <v>71458.815199788733</v>
      </c>
      <c r="N8" s="3">
        <v>468</v>
      </c>
      <c r="O8" s="3">
        <v>73987.260641415633</v>
      </c>
      <c r="P8" s="3">
        <v>76380.36534411546</v>
      </c>
      <c r="Q8" s="2">
        <f>SUM(P8/D8*100)</f>
        <v>18.099097978396156</v>
      </c>
      <c r="R8" s="2">
        <f>SUM(M8/P8*100/10)</f>
        <v>9.3556524478308365</v>
      </c>
      <c r="S8">
        <v>10</v>
      </c>
    </row>
    <row r="9" spans="1:19">
      <c r="A9">
        <v>5</v>
      </c>
      <c r="B9" t="s">
        <v>25</v>
      </c>
      <c r="C9" t="s">
        <v>22</v>
      </c>
      <c r="D9" s="3">
        <v>408053.72712585691</v>
      </c>
      <c r="E9" s="3">
        <v>408053.72712585691</v>
      </c>
      <c r="F9" s="3">
        <v>7355</v>
      </c>
      <c r="G9" s="3">
        <v>39249.316368480402</v>
      </c>
      <c r="H9" s="2">
        <v>9.618663857069647</v>
      </c>
      <c r="I9" s="3">
        <v>32469.62204976433</v>
      </c>
      <c r="J9" s="3">
        <v>380054.33621708001</v>
      </c>
      <c r="K9" s="3">
        <v>3836</v>
      </c>
      <c r="L9" s="3">
        <v>11191</v>
      </c>
      <c r="M9" s="3">
        <v>28963.77631894144</v>
      </c>
      <c r="N9" s="3">
        <v>4316</v>
      </c>
      <c r="O9" s="3">
        <v>68213.092687421842</v>
      </c>
      <c r="P9" s="3">
        <v>61433.398368705777</v>
      </c>
      <c r="Q9" s="2">
        <f>SUM(P9/D9*100)</f>
        <v>15.055222948559846</v>
      </c>
      <c r="R9" s="2">
        <f>SUM(M9/P9*100)</f>
        <v>47.146628850172171</v>
      </c>
      <c r="S9">
        <v>0</v>
      </c>
    </row>
    <row r="10" spans="1:19">
      <c r="A10">
        <v>6</v>
      </c>
      <c r="B10" t="s">
        <v>25</v>
      </c>
      <c r="C10" t="s">
        <v>23</v>
      </c>
      <c r="D10" s="3">
        <v>191174.67841656521</v>
      </c>
      <c r="E10" s="3">
        <v>191174.67841656521</v>
      </c>
      <c r="F10" s="3">
        <v>2374</v>
      </c>
      <c r="G10" s="3">
        <v>5667.1248943538676</v>
      </c>
      <c r="H10" s="2">
        <v>2.9643700417297589</v>
      </c>
      <c r="I10" s="3">
        <v>8675.0664654304146</v>
      </c>
      <c r="J10" s="3">
        <v>184044.9183830632</v>
      </c>
      <c r="K10" s="3">
        <v>2366</v>
      </c>
      <c r="L10" s="3">
        <v>4740</v>
      </c>
      <c r="M10" s="3">
        <v>19880.85401418103</v>
      </c>
      <c r="N10" s="3">
        <v>1214</v>
      </c>
      <c r="O10" s="3">
        <v>25547.9789085349</v>
      </c>
      <c r="P10" s="3">
        <v>28555.92047961145</v>
      </c>
      <c r="Q10" s="2">
        <f t="shared" ref="Q10:Q12" si="4">SUM(P10/D10*100)</f>
        <v>14.937083046839895</v>
      </c>
      <c r="R10" s="2">
        <f t="shared" ref="R10:R12" si="5">SUM(M10/P10*100)</f>
        <v>69.62077803927103</v>
      </c>
      <c r="S10">
        <v>0</v>
      </c>
    </row>
    <row r="12" spans="1:19">
      <c r="B12" s="6" t="s">
        <v>25</v>
      </c>
      <c r="D12" s="5">
        <f>SUM(D8:D11)</f>
        <v>1021240.4054514024</v>
      </c>
      <c r="E12" s="5">
        <f>SUM(E8:E11)</f>
        <v>1012141.9042053423</v>
      </c>
      <c r="F12" s="6">
        <f>SUM(F8:F10)</f>
        <v>10714</v>
      </c>
      <c r="G12" s="5">
        <f>SUM(G8:G10)</f>
        <v>47444.886704461176</v>
      </c>
      <c r="H12" s="7">
        <f>SUM(G12/D12*100)</f>
        <v>4.6458097869218049</v>
      </c>
      <c r="I12" s="5">
        <f>SUM(I8:I11)</f>
        <v>46066.23865952147</v>
      </c>
      <c r="J12" s="5">
        <f>SUM(J8:J11)</f>
        <v>974193.6503281591</v>
      </c>
      <c r="K12" s="5">
        <f>SUM(K8:K10)</f>
        <v>15995</v>
      </c>
      <c r="L12" s="5">
        <f>SUM(L8:L10)</f>
        <v>26709</v>
      </c>
      <c r="M12" s="5">
        <f>SUM(M8:M10)</f>
        <v>120303.4455329112</v>
      </c>
      <c r="N12" s="5">
        <f>SUM(N8:N10)</f>
        <v>5998</v>
      </c>
      <c r="O12" s="4">
        <f>SUM(O8:O10)</f>
        <v>167748.33223737238</v>
      </c>
      <c r="P12" s="4">
        <f>SUM(P8:P10)</f>
        <v>166369.68419243267</v>
      </c>
      <c r="Q12" s="2">
        <f t="shared" si="4"/>
        <v>16.290942201693927</v>
      </c>
      <c r="R12" s="2">
        <f t="shared" si="5"/>
        <v>72.310917771389981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2026-08-03T10:43:12Z</dcterms:created>
  <dcterms:modified xsi:type="dcterms:W3CDTF">2026-08-09T12:11:08Z</dcterms:modified>
  <cp:category/>
  <cp:contentStatus/>
</cp:coreProperties>
</file>