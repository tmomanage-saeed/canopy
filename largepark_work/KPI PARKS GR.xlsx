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eed\Downloads\Aa_Canopy\largepark_work\"/>
    </mc:Choice>
  </mc:AlternateContent>
  <xr:revisionPtr revIDLastSave="0" documentId="13_ncr:1_{1834706D-E71F-49A2-ADFC-732A3FF4BD31}" xr6:coauthVersionLast="47" xr6:coauthVersionMax="47" xr10:uidLastSave="{00000000-0000-0000-0000-000000000000}"/>
  <bookViews>
    <workbookView xWindow="-120" yWindow="-120" windowWidth="29040" windowHeight="15720" xr2:uid="{77722B99-B285-4C19-91B2-6CA9254EDB85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1" l="1"/>
  <c r="L3" i="1"/>
  <c r="L4" i="1"/>
  <c r="L5" i="1"/>
  <c r="L6" i="1"/>
  <c r="L7" i="1"/>
  <c r="M3" i="1"/>
  <c r="I4" i="1"/>
  <c r="I5" i="1"/>
  <c r="I6" i="1"/>
  <c r="I3" i="1"/>
  <c r="N7" i="1"/>
  <c r="M7" i="1"/>
  <c r="O7" i="1" s="1"/>
  <c r="N6" i="1"/>
  <c r="M6" i="1"/>
  <c r="O6" i="1" s="1"/>
  <c r="N5" i="1"/>
  <c r="M5" i="1"/>
  <c r="O5" i="1" s="1"/>
  <c r="N4" i="1"/>
  <c r="M4" i="1"/>
  <c r="O4" i="1" s="1"/>
  <c r="N3" i="1"/>
  <c r="O3" i="1"/>
</calcChain>
</file>

<file path=xl/sharedStrings.xml><?xml version="1.0" encoding="utf-8"?>
<sst xmlns="http://schemas.openxmlformats.org/spreadsheetml/2006/main" count="21" uniqueCount="21">
  <si>
    <t>Project</t>
  </si>
  <si>
    <t>Project area (m2)</t>
  </si>
  <si>
    <t>Plantable area (m2)</t>
  </si>
  <si>
    <t>Trees as per design</t>
  </si>
  <si>
    <t>Canopy cover after planting (m2)</t>
  </si>
  <si>
    <t>Mature canopy cover design trees (m2) as per species</t>
  </si>
  <si>
    <t>Remaining plantable Area</t>
  </si>
  <si>
    <t>Potential 
Additional 
trees</t>
  </si>
  <si>
    <t>Total trees</t>
  </si>
  <si>
    <t>Potential 
additional canopy cover (m2)</t>
  </si>
  <si>
    <t>Planned 
KPI (%)</t>
  </si>
  <si>
    <t>Current KPI (%)</t>
  </si>
  <si>
    <t>Current KPI mature canopy (%)</t>
  </si>
  <si>
    <t>Potential Total future 
KPI (%)</t>
  </si>
  <si>
    <t>Trees to be planted to reach planned KPI</t>
  </si>
  <si>
    <t>Parks</t>
  </si>
  <si>
    <t>Ar-Rimal2</t>
  </si>
  <si>
    <t>Al-Aziziyah</t>
  </si>
  <si>
    <t>Taweeq3</t>
  </si>
  <si>
    <t>Al-Arid2</t>
  </si>
  <si>
    <t>Bader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</si>
</sst>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Segoe U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3" borderId="4" xfId="0" applyFont="1" applyFill="1" applyBorder="1"/>
    <xf numFmtId="2" fontId="2" fillId="2" borderId="2" xfId="0" applyNumberFormat="1" applyFont="1" applyFill="1" applyBorder="1" applyAlignment="1">
      <alignment horizontal="center" vertical="top"/>
    </xf>
    <xf numFmtId="2" fontId="2" fillId="3" borderId="5" xfId="0" applyNumberFormat="1" applyFont="1" applyFill="1" applyBorder="1"/>
    <xf numFmtId="2" fontId="0" fillId="0" borderId="0" xfId="0" applyNumberFormat="1"/>
    <xf numFmtId="2" fontId="2" fillId="2" borderId="2" xfId="0" applyNumberFormat="1" applyFont="1" applyFill="1" applyBorder="1" applyAlignment="1">
      <alignment horizontal="center" vertical="top" wrapText="1"/>
    </xf>
    <xf numFmtId="2" fontId="2" fillId="2" borderId="3" xfId="0" applyNumberFormat="1" applyFont="1" applyFill="1" applyBorder="1" applyAlignment="1">
      <alignment horizontal="center" vertical="top" wrapText="1"/>
    </xf>
    <xf numFmtId="2" fontId="5" fillId="0" borderId="7" xfId="0" applyNumberFormat="1" applyFont="1" applyBorder="1"/>
    <xf numFmtId="2" fontId="0" fillId="0" borderId="8" xfId="0" applyNumberFormat="1" applyBorder="1"/>
    <xf numFmtId="2" fontId="5" fillId="0" borderId="10" xfId="0" applyNumberFormat="1" applyFont="1" applyBorder="1"/>
    <xf numFmtId="2" fontId="0" fillId="0" borderId="11" xfId="0" applyNumberFormat="1" applyBorder="1"/>
    <xf numFmtId="1" fontId="0" fillId="0" borderId="7" xfId="0" applyNumberFormat="1" applyBorder="1"/>
    <xf numFmtId="1" fontId="0" fillId="0" borderId="10" xfId="0" applyNumberFormat="1" applyBorder="1"/>
    <xf numFmtId="1" fontId="3" fillId="0" borderId="10" xfId="0" applyNumberFormat="1" applyFont="1" applyBorder="1"/>
    <xf numFmtId="0" fontId="3" fillId="0" borderId="6" xfId="0" applyFont="1" applyBorder="1"/>
    <xf numFmtId="0" fontId="3" fillId="0" borderId="9" xfId="0" applyFont="1" applyBorder="1"/>
    <xf numFmtId="3" fontId="4" fillId="0" borderId="7" xfId="1" applyNumberFormat="1" applyFont="1" applyFill="1" applyBorder="1" applyAlignment="1">
      <alignment horizontal="right" vertical="center" wrapText="1"/>
    </xf>
    <xf numFmtId="3" fontId="4" fillId="0" borderId="7" xfId="1" applyNumberFormat="1" applyFont="1" applyBorder="1" applyAlignment="1">
      <alignment horizontal="right" vertical="center" wrapText="1"/>
    </xf>
    <xf numFmtId="0" fontId="3" fillId="4" borderId="9" xfId="0" applyFont="1" applyFill="1" applyBorder="1"/>
    <xf numFmtId="3" fontId="4" fillId="4" borderId="7" xfId="1" applyNumberFormat="1" applyFont="1" applyFill="1" applyBorder="1" applyAlignment="1">
      <alignment horizontal="right" vertical="center" wrapText="1"/>
    </xf>
    <xf numFmtId="1" fontId="0" fillId="0" borderId="0" xfId="0" applyNumberFormat="1"/>
    <xf numFmtId="3" fontId="4" fillId="0" borderId="10" xfId="1" applyNumberFormat="1" applyFont="1" applyFill="1" applyBorder="1" applyAlignment="1">
      <alignment horizontal="right"/>
    </xf>
    <xf numFmtId="3" fontId="4" fillId="4" borderId="10" xfId="1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8B10-72AC-4B09-8041-AFBB1342DC87}">
  <dimension ref="A1:O17"/>
  <sheetViews>
    <sheetView tabSelected="1" topLeftCell="B1" workbookViewId="0">
      <selection activeCell="C7" sqref="C7"/>
    </sheetView>
  </sheetViews>
  <sheetFormatPr defaultColWidth="11.42578125" defaultRowHeight="15" x14ac:dyDescent="0.25"/>
  <cols>
    <col min="2" max="2" width="14.5703125" style="5" bestFit="1" customWidth="1"/>
    <col min="3" max="3" width="16.42578125" style="5" bestFit="1" customWidth="1"/>
    <col min="4" max="14" width="11.42578125" style="5"/>
    <col min="15" max="15" width="12.140625" style="5" customWidth="1"/>
  </cols>
  <sheetData>
    <row r="1" spans="1:15" ht="60" x14ac:dyDescent="0.25">
      <c r="A1" s="1" t="s">
        <v>0</v>
      </c>
      <c r="B1" s="3" t="s">
        <v>1</v>
      </c>
      <c r="C1" s="3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15.75" thickBot="1" x14ac:dyDescent="0.3">
      <c r="A2" s="2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25">
      <c r="A3" s="15" t="s">
        <v>16</v>
      </c>
      <c r="B3" s="17">
        <v>117739</v>
      </c>
      <c r="C3" s="17">
        <v>60971</v>
      </c>
      <c r="D3" s="17">
        <v>1544</v>
      </c>
      <c r="E3" s="17">
        <v>4844</v>
      </c>
      <c r="F3" s="17">
        <v>69065</v>
      </c>
      <c r="G3" s="17">
        <v>12667</v>
      </c>
      <c r="H3" s="18">
        <v>270</v>
      </c>
      <c r="I3" s="18">
        <f>H3+D3</f>
        <v>1814</v>
      </c>
      <c r="J3" s="18">
        <v>6689</v>
      </c>
      <c r="K3" s="12">
        <v>50</v>
      </c>
      <c r="L3" s="8">
        <f>100/B3*E3</f>
        <v>4.1141847646064598</v>
      </c>
      <c r="M3" s="8">
        <f>100/B3*F3</f>
        <v>58.659407672903626</v>
      </c>
      <c r="N3" s="8">
        <f>100/B3*(F3+J3)</f>
        <v>64.340617807183691</v>
      </c>
      <c r="O3" s="9">
        <f t="shared" ref="O3:O6" si="0">IF(M3&gt;K3,0,(W3/V3))</f>
        <v>0</v>
      </c>
    </row>
    <row r="4" spans="1:15" x14ac:dyDescent="0.25">
      <c r="A4" s="16" t="s">
        <v>17</v>
      </c>
      <c r="B4" s="22">
        <v>147378</v>
      </c>
      <c r="C4" s="17">
        <v>74470</v>
      </c>
      <c r="D4" s="17">
        <v>3228</v>
      </c>
      <c r="E4" s="17">
        <v>10112</v>
      </c>
      <c r="F4" s="17">
        <v>105987</v>
      </c>
      <c r="G4" s="17">
        <v>1482</v>
      </c>
      <c r="H4" s="18">
        <v>17</v>
      </c>
      <c r="I4" s="18">
        <f t="shared" ref="I4:I7" si="1">H4+D4</f>
        <v>3245</v>
      </c>
      <c r="J4" s="18">
        <v>173</v>
      </c>
      <c r="K4" s="13">
        <v>50</v>
      </c>
      <c r="L4" s="10">
        <f t="shared" ref="L4:L7" si="2">100/B4*E4</f>
        <v>6.8612683032745734</v>
      </c>
      <c r="M4" s="10">
        <f t="shared" ref="M4:M7" si="3">100/B4*F4</f>
        <v>71.915075520091193</v>
      </c>
      <c r="N4" s="10">
        <f>100/B4*(F4+J4)</f>
        <v>72.032460747194293</v>
      </c>
      <c r="O4" s="11">
        <f t="shared" si="0"/>
        <v>0</v>
      </c>
    </row>
    <row r="5" spans="1:15" x14ac:dyDescent="0.25">
      <c r="A5" s="16" t="s">
        <v>18</v>
      </c>
      <c r="B5" s="22">
        <v>129268</v>
      </c>
      <c r="C5" s="17">
        <v>54590</v>
      </c>
      <c r="D5" s="17">
        <v>2338</v>
      </c>
      <c r="E5" s="17">
        <v>7332</v>
      </c>
      <c r="F5" s="17">
        <v>53681</v>
      </c>
      <c r="G5" s="17">
        <v>5334</v>
      </c>
      <c r="H5" s="18">
        <v>100</v>
      </c>
      <c r="I5" s="18">
        <f t="shared" si="1"/>
        <v>2438</v>
      </c>
      <c r="J5" s="18">
        <v>2617</v>
      </c>
      <c r="K5" s="14">
        <v>50</v>
      </c>
      <c r="L5" s="10">
        <f t="shared" si="2"/>
        <v>5.6719373704242351</v>
      </c>
      <c r="M5" s="10">
        <f t="shared" si="3"/>
        <v>41.526905343936626</v>
      </c>
      <c r="N5" s="10">
        <f t="shared" ref="N5:N7" si="4">100/B5*(F5+J5)</f>
        <v>43.551381625769721</v>
      </c>
      <c r="O5" s="11" t="e">
        <f t="shared" si="0"/>
        <v>#DIV/0!</v>
      </c>
    </row>
    <row r="6" spans="1:15" x14ac:dyDescent="0.25">
      <c r="A6" s="16" t="s">
        <v>19</v>
      </c>
      <c r="B6" s="22">
        <v>53763</v>
      </c>
      <c r="C6" s="17">
        <v>21400</v>
      </c>
      <c r="D6" s="17">
        <v>803</v>
      </c>
      <c r="E6" s="17">
        <v>2519</v>
      </c>
      <c r="F6" s="17">
        <v>31909</v>
      </c>
      <c r="G6" s="17">
        <v>2876</v>
      </c>
      <c r="H6" s="18">
        <v>89</v>
      </c>
      <c r="I6" s="18">
        <f t="shared" si="1"/>
        <v>892</v>
      </c>
      <c r="J6" s="18">
        <v>1287</v>
      </c>
      <c r="K6" s="14">
        <v>50</v>
      </c>
      <c r="L6" s="10">
        <f t="shared" si="2"/>
        <v>4.6853784201030448</v>
      </c>
      <c r="M6" s="10">
        <f t="shared" si="3"/>
        <v>59.351226680058772</v>
      </c>
      <c r="N6" s="10">
        <f t="shared" si="4"/>
        <v>61.745066309543738</v>
      </c>
      <c r="O6" s="11">
        <f t="shared" si="0"/>
        <v>0</v>
      </c>
    </row>
    <row r="7" spans="1:15" x14ac:dyDescent="0.25">
      <c r="A7" s="19" t="s">
        <v>20</v>
      </c>
      <c r="B7" s="23">
        <v>172745</v>
      </c>
      <c r="C7" s="20">
        <v>12866</v>
      </c>
      <c r="D7" s="20">
        <v>1377</v>
      </c>
      <c r="E7" s="20">
        <v>1345</v>
      </c>
      <c r="F7" s="20">
        <v>76114</v>
      </c>
      <c r="G7" s="20">
        <v>6479</v>
      </c>
      <c r="H7" s="18">
        <v>293</v>
      </c>
      <c r="I7" s="18">
        <f>H7+D7</f>
        <v>1670</v>
      </c>
      <c r="J7" s="18">
        <v>7748</v>
      </c>
      <c r="K7" s="14">
        <v>50</v>
      </c>
      <c r="L7" s="10">
        <f t="shared" si="2"/>
        <v>0.77860430113751489</v>
      </c>
      <c r="M7" s="10">
        <f t="shared" si="3"/>
        <v>44.061477900952269</v>
      </c>
      <c r="N7" s="10">
        <f t="shared" si="4"/>
        <v>48.546701785869345</v>
      </c>
      <c r="O7" s="11" t="e">
        <f>IF(M7&gt;K7,0,(W7/V7))</f>
        <v>#DIV/0!</v>
      </c>
    </row>
    <row r="17" spans="15:15" x14ac:dyDescent="0.25">
      <c r="O17" s="21"/>
    </row>
  </sheetData>
  <conditionalFormatting sqref="L3:L7">
    <cfRule type="cellIs" dxfId="2" priority="3" operator="lessThan">
      <formula>$K$3</formula>
    </cfRule>
    <cfRule type="colorScale" priority="4">
      <colorScale>
        <cfvo type="formula" val="$M$4:$M$18&gt;$K$4:$K$18"/>
        <cfvo type="formula" val="$M$4:$M$18&lt;$K$4:$K$18"/>
        <color theme="6" tint="0.59999389629810485"/>
        <color rgb="FFFFEF9C"/>
      </colorScale>
    </cfRule>
    <cfRule type="colorScale" priority="5">
      <colorScale>
        <cfvo type="formula" val="&quot;M&gt;G&quot;"/>
        <cfvo type="formula" val="&quot;M&lt;G&quot;"/>
        <color theme="6" tint="0.59999389629810485"/>
        <color rgb="FFFFEF9C"/>
      </colorScale>
    </cfRule>
  </conditionalFormatting>
  <conditionalFormatting sqref="L3:N7">
    <cfRule type="cellIs" dxfId="1" priority="2" operator="greaterThan">
      <formula>$K$4</formula>
    </cfRule>
  </conditionalFormatting>
  <conditionalFormatting sqref="M3:M6">
    <cfRule type="cellIs" dxfId="0" priority="1" operator="lessThan">
      <formula>$K$3</formula>
    </cfRule>
  </conditionalFormatting>
  <conditionalFormatting sqref="M3:M7">
    <cfRule type="colorScale" priority="6">
      <colorScale>
        <cfvo type="formula" val="$M$4:$M$18&gt;$K$4:$K$18"/>
        <cfvo type="formula" val="$M$4:$M$18&lt;$K$4:$K$18"/>
        <color theme="6" tint="0.59999389629810485"/>
        <color rgb="FFFFEF9C"/>
      </colorScale>
    </cfRule>
    <cfRule type="colorScale" priority="7">
      <colorScale>
        <cfvo type="formula" val="&quot;M&gt;G&quot;"/>
        <cfvo type="formula" val="&quot;M&lt;G&quot;"/>
        <color theme="6" tint="0.59999389629810485"/>
        <color rgb="FFFFEF9C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Klaua</dc:creator>
  <cp:keywords/>
  <dc:description/>
  <cp:lastModifiedBy>Saeed Ullah</cp:lastModifiedBy>
  <cp:revision/>
  <dcterms:created xsi:type="dcterms:W3CDTF">2026-07-15T11:08:47Z</dcterms:created>
  <dcterms:modified xsi:type="dcterms:W3CDTF">2026-07-22T12:44:42Z</dcterms:modified>
  <cp:category/>
  <cp:contentStatus/>
</cp:coreProperties>
</file>